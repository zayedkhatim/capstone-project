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nthly Data" sheetId="1" state="visible" r:id="rId3"/>
    <sheet name="Category Targets" sheetId="2" state="visible" r:id="rId4"/>
    <sheet name="Pivot" sheetId="3" state="visible" r:id="rId5"/>
    <sheet name="Category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<sst xmlns="http://schemas.openxmlformats.org/spreadsheetml/2006/main" count="110" uniqueCount="26">
  <si>
    <t xml:space="preserve">category</t>
  </si>
  <si>
    <t xml:space="preserve">month</t>
  </si>
  <si>
    <t xml:space="preserve">order_count</t>
  </si>
  <si>
    <t xml:space="preserve">total_revenue</t>
  </si>
  <si>
    <t xml:space="preserve">avg_revenue</t>
  </si>
  <si>
    <t xml:space="preserve">Bakery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</si>
  <si>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</si>
  <si>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</si>
  <si>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</si>
  <si>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</si>
  <si>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</si>
  <si>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</si>
  <si>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Dairy &amp; Eggs</t>
  </si>
  <si>
    <t xml:space="preserve">Fruits &amp; Vegetables</t>
  </si>
  <si>
    <t xml:space="preserve">Household Essentials</t>
  </si>
  <si>
    <t xml:space="preserve">Personal Care</t>
  </si>
  <si>
    <t xml:space="preserve">Snacks &amp; Beverages</t>
  </si>
  <si>
    <t xml:space="preserve">target_revenue_inr</t>
  </si>
  <si>
    <t xml:space="preserve">SUM of total_revenue</t>
  </si>
  <si>
    <t xml:space="preserve">SUM of order_count</t>
  </si>
  <si>
    <t xml:space="preserve">Grand Total</t>
  </si>
  <si>
    <t xml:space="preserve">variance</t>
  </si>
  <si>
    <t xml:space="preserve">percentage_variance</t>
  </si>
  <si>
    <t xml:space="preserve">target_status</t>
  </si>
  <si>
    <t xml:space="preserve">sql_reference_total</t>
  </si>
  <si>
    <t xml:space="preserve">matches_part1_sql_total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</si>
</sst>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7D7A8"/>
        </patternFill>
      </fill>
    </dxf>
    <dxf>
      <fill>
        <patternFill>
          <bgColor rgb="FFF9CB9C"/>
        </patternFill>
      </fill>
    </dxf>
    <dxf>
      <fill>
        <patternFill>
          <bgColor rgb="FFEA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n">
        <v>6</v>
      </c>
      <c r="D2" s="0" t="n">
        <v>735</v>
      </c>
      <c r="E2" s="0" t="n">
        <v>122.5</v>
      </c>
    </row>
    <row r="3" customFormat="false" ht="15" hidden="false" customHeight="false" outlineLevel="0" collapsed="false">
      <c r="A3" s="0" t="s">
        <v>5</v>
      </c>
      <c r="B3" s="0" t="s">
        <v>7</v>
      </c>
      <c r="C3" s="0" t="n">
        <v>8</v>
      </c>
      <c r="D3" s="0" t="n">
        <v>2440</v>
      </c>
      <c r="E3" s="0" t="n">
        <v>305</v>
      </c>
    </row>
    <row r="4" customFormat="false" ht="15" hidden="false" customHeight="false" outlineLevel="0" collapsed="false">
      <c r="A4" s="0" t="s">
        <v>5</v>
      </c>
      <c r="B4" s="0" t="s">
        <v>8</v>
      </c>
      <c r="C4" s="0" t="n">
        <v>11</v>
      </c>
      <c r="D4" s="0" t="n">
        <v>3090</v>
      </c>
      <c r="E4" s="0" t="n">
        <v>280.909090909091</v>
      </c>
    </row>
    <row r="5" customFormat="false" ht="15" hidden="false" customHeight="false" outlineLevel="0" collapsed="false">
      <c r="A5" s="0" t="s">
        <v>5</v>
      </c>
      <c r="B5" s="0" t="s">
        <v>9</v>
      </c>
      <c r="C5" s="0" t="n">
        <v>13</v>
      </c>
      <c r="D5" s="0" t="n">
        <v>3115</v>
      </c>
      <c r="E5" s="0" t="n">
        <v>239.615384615385</v>
      </c>
    </row>
    <row r="6" customFormat="false" ht="15" hidden="false" customHeight="false" outlineLevel="0" collapsed="false">
      <c r="A6" s="0" t="s">
        <v>5</v>
      </c>
      <c r="B6" s="0" t="s">
        <v>10</v>
      </c>
      <c r="C6" s="0" t="n">
        <v>15</v>
      </c>
      <c r="D6" s="0" t="n">
        <v>3695</v>
      </c>
      <c r="E6" s="0" t="n">
        <v>246.333333333333</v>
      </c>
    </row>
    <row r="7" customFormat="false" ht="15" hidden="false" customHeight="false" outlineLevel="0" collapsed="false">
      <c r="A7" s="0" t="s">
        <v>5</v>
      </c>
      <c r="B7" s="0" t="s">
        <v>11</v>
      </c>
      <c r="C7" s="0" t="n">
        <v>14</v>
      </c>
      <c r="D7" s="0" t="n">
        <v>2335</v>
      </c>
      <c r="E7" s="0" t="n">
        <v>166.785714285714</v>
      </c>
    </row>
    <row r="8" customFormat="false" ht="15" hidden="false" customHeight="false" outlineLevel="0" collapsed="false">
      <c r="A8" s="0" t="s">
        <v>12</v>
      </c>
      <c r="B8" s="0" t="s">
        <v>6</v>
      </c>
      <c r="C8" s="0" t="n">
        <v>9</v>
      </c>
      <c r="D8" s="0" t="n">
        <v>2035</v>
      </c>
      <c r="E8" s="0" t="n">
        <v>226.111111111111</v>
      </c>
    </row>
    <row r="9" customFormat="false" ht="15" hidden="false" customHeight="false" outlineLevel="0" collapsed="false">
      <c r="A9" s="0" t="s">
        <v>12</v>
      </c>
      <c r="B9" s="0" t="s">
        <v>7</v>
      </c>
      <c r="C9" s="0" t="n">
        <v>8</v>
      </c>
      <c r="D9" s="0" t="n">
        <v>1935</v>
      </c>
      <c r="E9" s="0" t="n">
        <v>241.875</v>
      </c>
    </row>
    <row r="10" customFormat="false" ht="15" hidden="false" customHeight="false" outlineLevel="0" collapsed="false">
      <c r="A10" s="0" t="s">
        <v>12</v>
      </c>
      <c r="B10" s="0" t="s">
        <v>8</v>
      </c>
      <c r="C10" s="0" t="n">
        <v>15</v>
      </c>
      <c r="D10" s="0" t="n">
        <v>3163</v>
      </c>
      <c r="E10" s="0" t="n">
        <v>210.866666666667</v>
      </c>
    </row>
    <row r="11" customFormat="false" ht="15" hidden="false" customHeight="false" outlineLevel="0" collapsed="false">
      <c r="A11" s="0" t="s">
        <v>12</v>
      </c>
      <c r="B11" s="0" t="s">
        <v>9</v>
      </c>
      <c r="C11" s="0" t="n">
        <v>9</v>
      </c>
      <c r="D11" s="0" t="n">
        <v>1650</v>
      </c>
      <c r="E11" s="0" t="n">
        <v>183.333333333333</v>
      </c>
    </row>
    <row r="12" customFormat="false" ht="15" hidden="false" customHeight="false" outlineLevel="0" collapsed="false">
      <c r="A12" s="0" t="s">
        <v>12</v>
      </c>
      <c r="B12" s="0" t="s">
        <v>10</v>
      </c>
      <c r="C12" s="0" t="n">
        <v>14</v>
      </c>
      <c r="D12" s="0" t="n">
        <v>3479</v>
      </c>
      <c r="E12" s="0" t="n">
        <v>248.5</v>
      </c>
    </row>
    <row r="13" customFormat="false" ht="15" hidden="false" customHeight="false" outlineLevel="0" collapsed="false">
      <c r="A13" s="0" t="s">
        <v>12</v>
      </c>
      <c r="B13" s="0" t="s">
        <v>11</v>
      </c>
      <c r="C13" s="0" t="n">
        <v>11</v>
      </c>
      <c r="D13" s="0" t="n">
        <v>1828</v>
      </c>
      <c r="E13" s="0" t="n">
        <v>166.181818181818</v>
      </c>
    </row>
    <row r="14" customFormat="false" ht="15" hidden="false" customHeight="false" outlineLevel="0" collapsed="false">
      <c r="A14" s="0" t="s">
        <v>13</v>
      </c>
      <c r="B14" s="0" t="s">
        <v>6</v>
      </c>
      <c r="C14" s="0" t="n">
        <v>12</v>
      </c>
      <c r="D14" s="0" t="n">
        <v>1290</v>
      </c>
      <c r="E14" s="0" t="n">
        <v>107.5</v>
      </c>
    </row>
    <row r="15" customFormat="false" ht="15" hidden="false" customHeight="false" outlineLevel="0" collapsed="false">
      <c r="A15" s="0" t="s">
        <v>13</v>
      </c>
      <c r="B15" s="0" t="s">
        <v>7</v>
      </c>
      <c r="C15" s="0" t="n">
        <v>13</v>
      </c>
      <c r="D15" s="0" t="n">
        <v>2090</v>
      </c>
      <c r="E15" s="0" t="n">
        <v>160.769230769231</v>
      </c>
    </row>
    <row r="16" customFormat="false" ht="15" hidden="false" customHeight="false" outlineLevel="0" collapsed="false">
      <c r="A16" s="0" t="s">
        <v>13</v>
      </c>
      <c r="B16" s="0" t="s">
        <v>8</v>
      </c>
      <c r="C16" s="0" t="n">
        <v>13</v>
      </c>
      <c r="D16" s="0" t="n">
        <v>2080</v>
      </c>
      <c r="E16" s="0" t="n">
        <v>160</v>
      </c>
    </row>
    <row r="17" customFormat="false" ht="15" hidden="false" customHeight="false" outlineLevel="0" collapsed="false">
      <c r="A17" s="0" t="s">
        <v>13</v>
      </c>
      <c r="B17" s="0" t="s">
        <v>9</v>
      </c>
      <c r="C17" s="0" t="n">
        <v>14</v>
      </c>
      <c r="D17" s="0" t="n">
        <v>1400</v>
      </c>
      <c r="E17" s="0" t="n">
        <v>100</v>
      </c>
    </row>
    <row r="18" customFormat="false" ht="15" hidden="false" customHeight="false" outlineLevel="0" collapsed="false">
      <c r="A18" s="0" t="s">
        <v>13</v>
      </c>
      <c r="B18" s="0" t="s">
        <v>10</v>
      </c>
      <c r="C18" s="0" t="n">
        <v>12</v>
      </c>
      <c r="D18" s="0" t="n">
        <v>1870</v>
      </c>
      <c r="E18" s="0" t="n">
        <v>155.833333333333</v>
      </c>
    </row>
    <row r="19" customFormat="false" ht="15" hidden="false" customHeight="false" outlineLevel="0" collapsed="false">
      <c r="A19" s="0" t="s">
        <v>13</v>
      </c>
      <c r="B19" s="0" t="s">
        <v>11</v>
      </c>
      <c r="C19" s="0" t="n">
        <v>9</v>
      </c>
      <c r="D19" s="0" t="n">
        <v>1060</v>
      </c>
      <c r="E19" s="0" t="n">
        <v>117.777777777778</v>
      </c>
    </row>
    <row r="20" customFormat="false" ht="15" hidden="false" customHeight="false" outlineLevel="0" collapsed="false">
      <c r="A20" s="0" t="s">
        <v>14</v>
      </c>
      <c r="B20" s="0" t="s">
        <v>6</v>
      </c>
      <c r="C20" s="0" t="n">
        <v>10</v>
      </c>
      <c r="D20" s="0" t="n">
        <v>2099</v>
      </c>
      <c r="E20" s="0" t="n">
        <v>209.9</v>
      </c>
    </row>
    <row r="21" customFormat="false" ht="15" hidden="false" customHeight="false" outlineLevel="0" collapsed="false">
      <c r="A21" s="0" t="s">
        <v>14</v>
      </c>
      <c r="B21" s="0" t="s">
        <v>7</v>
      </c>
      <c r="C21" s="0" t="n">
        <v>16</v>
      </c>
      <c r="D21" s="0" t="n">
        <v>5113</v>
      </c>
      <c r="E21" s="0" t="n">
        <v>319.5625</v>
      </c>
    </row>
    <row r="22" customFormat="false" ht="15" hidden="false" customHeight="false" outlineLevel="0" collapsed="false">
      <c r="A22" s="0" t="s">
        <v>14</v>
      </c>
      <c r="B22" s="0" t="s">
        <v>8</v>
      </c>
      <c r="C22" s="0" t="n">
        <v>8</v>
      </c>
      <c r="D22" s="0" t="n">
        <v>1885</v>
      </c>
      <c r="E22" s="0" t="n">
        <v>235.625</v>
      </c>
    </row>
    <row r="23" customFormat="false" ht="15" hidden="false" customHeight="false" outlineLevel="0" collapsed="false">
      <c r="A23" s="0" t="s">
        <v>14</v>
      </c>
      <c r="B23" s="0" t="s">
        <v>9</v>
      </c>
      <c r="C23" s="0" t="n">
        <v>17</v>
      </c>
      <c r="D23" s="0" t="n">
        <v>5491</v>
      </c>
      <c r="E23" s="0" t="n">
        <v>323</v>
      </c>
    </row>
    <row r="24" customFormat="false" ht="15" hidden="false" customHeight="false" outlineLevel="0" collapsed="false">
      <c r="A24" s="0" t="s">
        <v>14</v>
      </c>
      <c r="B24" s="0" t="s">
        <v>10</v>
      </c>
      <c r="C24" s="0" t="n">
        <v>16</v>
      </c>
      <c r="D24" s="0" t="n">
        <v>3477</v>
      </c>
      <c r="E24" s="0" t="n">
        <v>217.3125</v>
      </c>
    </row>
    <row r="25" customFormat="false" ht="15" hidden="false" customHeight="false" outlineLevel="0" collapsed="false">
      <c r="A25" s="0" t="s">
        <v>14</v>
      </c>
      <c r="B25" s="0" t="s">
        <v>11</v>
      </c>
      <c r="C25" s="0" t="n">
        <v>12</v>
      </c>
      <c r="D25" s="0" t="n">
        <v>3650</v>
      </c>
      <c r="E25" s="0" t="n">
        <v>304.166666666667</v>
      </c>
    </row>
    <row r="26" customFormat="false" ht="15" hidden="false" customHeight="false" outlineLevel="0" collapsed="false">
      <c r="A26" s="0" t="s">
        <v>15</v>
      </c>
      <c r="B26" s="0" t="s">
        <v>6</v>
      </c>
      <c r="C26" s="0" t="n">
        <v>12</v>
      </c>
      <c r="D26" s="0" t="n">
        <v>3608</v>
      </c>
      <c r="E26" s="0" t="n">
        <v>300.666666666667</v>
      </c>
    </row>
    <row r="27" customFormat="false" ht="15" hidden="false" customHeight="false" outlineLevel="0" collapsed="false">
      <c r="A27" s="0" t="s">
        <v>15</v>
      </c>
      <c r="B27" s="0" t="s">
        <v>7</v>
      </c>
      <c r="C27" s="0" t="n">
        <v>8</v>
      </c>
      <c r="D27" s="0" t="n">
        <v>2177</v>
      </c>
      <c r="E27" s="0" t="n">
        <v>272.125</v>
      </c>
    </row>
    <row r="28" customFormat="false" ht="15" hidden="false" customHeight="false" outlineLevel="0" collapsed="false">
      <c r="A28" s="0" t="s">
        <v>15</v>
      </c>
      <c r="B28" s="0" t="s">
        <v>8</v>
      </c>
      <c r="C28" s="0" t="n">
        <v>11</v>
      </c>
      <c r="D28" s="0" t="n">
        <v>2807</v>
      </c>
      <c r="E28" s="0" t="n">
        <v>255.181818181818</v>
      </c>
    </row>
    <row r="29" customFormat="false" ht="15" hidden="false" customHeight="false" outlineLevel="0" collapsed="false">
      <c r="A29" s="0" t="s">
        <v>15</v>
      </c>
      <c r="B29" s="0" t="s">
        <v>9</v>
      </c>
      <c r="C29" s="0" t="n">
        <v>9</v>
      </c>
      <c r="D29" s="0" t="n">
        <v>1970</v>
      </c>
      <c r="E29" s="0" t="n">
        <v>218.888888888889</v>
      </c>
    </row>
    <row r="30" customFormat="false" ht="15" hidden="false" customHeight="false" outlineLevel="0" collapsed="false">
      <c r="A30" s="0" t="s">
        <v>15</v>
      </c>
      <c r="B30" s="0" t="s">
        <v>10</v>
      </c>
      <c r="C30" s="0" t="n">
        <v>13</v>
      </c>
      <c r="D30" s="0" t="n">
        <v>3045</v>
      </c>
      <c r="E30" s="0" t="n">
        <v>234.230769230769</v>
      </c>
    </row>
    <row r="31" customFormat="false" ht="15" hidden="false" customHeight="false" outlineLevel="0" collapsed="false">
      <c r="A31" s="0" t="s">
        <v>15</v>
      </c>
      <c r="B31" s="0" t="s">
        <v>11</v>
      </c>
      <c r="C31" s="0" t="n">
        <v>13</v>
      </c>
      <c r="D31" s="0" t="n">
        <v>2775</v>
      </c>
      <c r="E31" s="0" t="n">
        <v>213.461538461539</v>
      </c>
    </row>
    <row r="32" customFormat="false" ht="15" hidden="false" customHeight="false" outlineLevel="0" collapsed="false">
      <c r="A32" s="0" t="s">
        <v>16</v>
      </c>
      <c r="B32" s="0" t="s">
        <v>6</v>
      </c>
      <c r="C32" s="0" t="n">
        <v>10</v>
      </c>
      <c r="D32" s="0" t="n">
        <v>1290</v>
      </c>
      <c r="E32" s="0" t="n">
        <v>129</v>
      </c>
    </row>
    <row r="33" customFormat="false" ht="15" hidden="false" customHeight="false" outlineLevel="0" collapsed="false">
      <c r="A33" s="0" t="s">
        <v>16</v>
      </c>
      <c r="B33" s="0" t="s">
        <v>7</v>
      </c>
      <c r="C33" s="0" t="n">
        <v>11</v>
      </c>
      <c r="D33" s="0" t="n">
        <v>1330</v>
      </c>
      <c r="E33" s="0" t="n">
        <v>120.909090909091</v>
      </c>
    </row>
    <row r="34" customFormat="false" ht="15" hidden="false" customHeight="false" outlineLevel="0" collapsed="false">
      <c r="A34" s="0" t="s">
        <v>16</v>
      </c>
      <c r="B34" s="0" t="s">
        <v>8</v>
      </c>
      <c r="C34" s="0" t="n">
        <v>15</v>
      </c>
      <c r="D34" s="0" t="n">
        <v>1670</v>
      </c>
      <c r="E34" s="0" t="n">
        <v>111.333333333333</v>
      </c>
    </row>
    <row r="35" customFormat="false" ht="15" hidden="false" customHeight="false" outlineLevel="0" collapsed="false">
      <c r="A35" s="0" t="s">
        <v>16</v>
      </c>
      <c r="B35" s="0" t="s">
        <v>9</v>
      </c>
      <c r="C35" s="0" t="n">
        <v>19</v>
      </c>
      <c r="D35" s="0" t="n">
        <v>2980</v>
      </c>
      <c r="E35" s="0" t="n">
        <v>156.842105263158</v>
      </c>
    </row>
    <row r="36" customFormat="false" ht="15" hidden="false" customHeight="false" outlineLevel="0" collapsed="false">
      <c r="A36" s="0" t="s">
        <v>16</v>
      </c>
      <c r="B36" s="0" t="s">
        <v>10</v>
      </c>
      <c r="C36" s="0" t="n">
        <v>13</v>
      </c>
      <c r="D36" s="0" t="n">
        <v>1665</v>
      </c>
      <c r="E36" s="0" t="n">
        <v>128.076923076923</v>
      </c>
    </row>
    <row r="37" customFormat="false" ht="15" hidden="false" customHeight="false" outlineLevel="0" collapsed="false">
      <c r="A37" s="0" t="s">
        <v>16</v>
      </c>
      <c r="B37" s="0" t="s">
        <v>11</v>
      </c>
      <c r="C37" s="0" t="n">
        <v>15</v>
      </c>
      <c r="D37" s="0" t="n">
        <v>1960</v>
      </c>
      <c r="E37" s="0" t="n">
        <v>130.666666666667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0</v>
      </c>
      <c r="B1" s="1" t="s">
        <v>17</v>
      </c>
    </row>
    <row r="2" customFormat="false" ht="15" hidden="false" customHeight="false" outlineLevel="0" collapsed="false">
      <c r="A2" s="0" t="s">
        <v>13</v>
      </c>
      <c r="B2" s="0" t="n">
        <v>12000</v>
      </c>
    </row>
    <row r="3" customFormat="false" ht="15" hidden="false" customHeight="false" outlineLevel="0" collapsed="false">
      <c r="A3" s="0" t="s">
        <v>12</v>
      </c>
      <c r="B3" s="0" t="n">
        <v>16500</v>
      </c>
    </row>
    <row r="4" customFormat="false" ht="15" hidden="false" customHeight="false" outlineLevel="0" collapsed="false">
      <c r="A4" s="0" t="s">
        <v>16</v>
      </c>
      <c r="B4" s="0" t="n">
        <v>13000</v>
      </c>
    </row>
    <row r="5" customFormat="false" ht="15" hidden="false" customHeight="false" outlineLevel="0" collapsed="false">
      <c r="A5" s="0" t="s">
        <v>15</v>
      </c>
      <c r="B5" s="0" t="n">
        <v>15500</v>
      </c>
    </row>
    <row r="6" customFormat="false" ht="15" hidden="false" customHeight="false" outlineLevel="0" collapsed="false">
      <c r="A6" s="0" t="s">
        <v>14</v>
      </c>
      <c r="B6" s="0" t="n">
        <v>17000</v>
      </c>
    </row>
    <row r="7" customFormat="false" ht="15" hidden="false" customHeight="false" outlineLevel="0" collapsed="false">
      <c r="A7" s="0" t="s">
        <v>5</v>
      </c>
      <c r="B7" s="0" t="n">
        <v>12000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20"/>
  </cols>
  <sheetData>
    <row r="1" customFormat="false" ht="15" hidden="false" customHeight="false" outlineLevel="0" collapsed="false">
      <c r="A1" s="1" t="s">
        <v>0</v>
      </c>
      <c r="B1" s="1" t="s">
        <v>18</v>
      </c>
      <c r="C1" s="1" t="s">
        <v>19</v>
      </c>
    </row>
    <row r="2" customFormat="false" ht="15" hidden="false" customHeight="false" outlineLevel="0" collapsed="false">
      <c r="A2" s="0" t="s">
        <v>5</v>
      </c>
      <c r="B2" s="0" t="n">
        <f aca="false">SUMIF('Monthly Data'!A2:A37,A2,'Monthly Data'!D2:D37)</f>
        <v>15410</v>
      </c>
      <c r="C2" s="0" t="n">
        <f aca="false">SUMIF('Monthly Data'!A2:A37,A2,'Monthly Data'!C2:C37)</f>
        <v>67</v>
      </c>
    </row>
    <row r="3" customFormat="false" ht="15" hidden="false" customHeight="false" outlineLevel="0" collapsed="false">
      <c r="A3" s="0" t="s">
        <v>12</v>
      </c>
      <c r="B3" s="0" t="n">
        <f aca="false">SUMIF('Monthly Data'!A2:A37,A3,'Monthly Data'!D2:D37)</f>
        <v>14090</v>
      </c>
      <c r="C3" s="0" t="n">
        <f aca="false">SUMIF('Monthly Data'!A2:A37,A3,'Monthly Data'!C2:C37)</f>
        <v>66</v>
      </c>
    </row>
    <row r="4" customFormat="false" ht="15" hidden="false" customHeight="false" outlineLevel="0" collapsed="false">
      <c r="A4" s="0" t="s">
        <v>13</v>
      </c>
      <c r="B4" s="0" t="n">
        <f aca="false">SUMIF('Monthly Data'!A2:A37,A4,'Monthly Data'!D2:D37)</f>
        <v>9790</v>
      </c>
      <c r="C4" s="0" t="n">
        <f aca="false">SUMIF('Monthly Data'!A2:A37,A4,'Monthly Data'!C2:C37)</f>
        <v>73</v>
      </c>
    </row>
    <row r="5" customFormat="false" ht="15" hidden="false" customHeight="false" outlineLevel="0" collapsed="false">
      <c r="A5" s="0" t="s">
        <v>14</v>
      </c>
      <c r="B5" s="0" t="n">
        <f aca="false">SUMIF('Monthly Data'!A2:A37,A5,'Monthly Data'!D2:D37)</f>
        <v>21715</v>
      </c>
      <c r="C5" s="0" t="n">
        <f aca="false">SUMIF('Monthly Data'!A2:A37,A5,'Monthly Data'!C2:C37)</f>
        <v>79</v>
      </c>
    </row>
    <row r="6" customFormat="false" ht="15" hidden="false" customHeight="false" outlineLevel="0" collapsed="false">
      <c r="A6" s="0" t="s">
        <v>15</v>
      </c>
      <c r="B6" s="0" t="n">
        <f aca="false">SUMIF('Monthly Data'!A2:A37,A6,'Monthly Data'!D2:D37)</f>
        <v>16382</v>
      </c>
      <c r="C6" s="0" t="n">
        <f aca="false">SUMIF('Monthly Data'!A2:A37,A6,'Monthly Data'!C2:C37)</f>
        <v>66</v>
      </c>
    </row>
    <row r="7" customFormat="false" ht="15" hidden="false" customHeight="false" outlineLevel="0" collapsed="false">
      <c r="A7" s="0" t="s">
        <v>16</v>
      </c>
      <c r="B7" s="0" t="n">
        <f aca="false">SUMIF('Monthly Data'!A2:A37,A7,'Monthly Data'!D2:D37)</f>
        <v>10895</v>
      </c>
      <c r="C7" s="0" t="n">
        <f aca="false">SUMIF('Monthly Data'!A2:A37,A7,'Monthly Data'!C2:C37)</f>
        <v>83</v>
      </c>
    </row>
    <row r="8" customFormat="false" ht="15" hidden="false" customHeight="false" outlineLevel="0" collapsed="false">
      <c r="A8" s="1" t="s">
        <v>20</v>
      </c>
      <c r="B8" s="1" t="n">
        <f aca="false">SUM(B2:B7)</f>
        <v>88282</v>
      </c>
      <c r="C8" s="1" t="n">
        <f aca="false">SUM(C2:C7)</f>
        <v>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17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</row>
    <row r="2" customFormat="false" ht="15" hidden="false" customHeight="false" outlineLevel="0" collapsed="false">
      <c r="A2" s="0" t="s">
        <v>5</v>
      </c>
      <c r="B2" s="0" t="n">
        <f aca="false">VLOOKUP(A2,Pivot!A:C,2,FALSE())</f>
        <v>15410</v>
      </c>
      <c r="C2" s="0" t="n">
        <f aca="false">VLOOKUP(A2,Pivot!A:C,3,FALSE())</f>
        <v>67</v>
      </c>
      <c r="D2" s="0" t="n">
        <f aca="false">IFERROR(xlookup(A2,'Category Targets'!A:A,'Category Targets'!B:B),IFERROR(VLOOKUP(A2,'Category Targets'!A:B,2,FALSE()),"Not Found"))</f>
        <v>12000</v>
      </c>
      <c r="E2" s="0" t="n">
        <f aca="false">D2-B2</f>
        <v>-3410</v>
      </c>
      <c r="F2" s="0" t="n">
        <f aca="false">((B2-D2)*100)/D2</f>
        <v>28.4166666666667</v>
      </c>
      <c r="G2" s="0" t="str">
        <f aca="false">IF(B2&gt;=D2,"Above Target",IF(((D2-B2)*100/D2)&lt;=15,"Below Target - Watch","Below Target - Critical"))</f>
        <v>Above Target</v>
      </c>
      <c r="H2" s="0" t="n">
        <v>15410</v>
      </c>
      <c r="I2" s="0" t="str">
        <f aca="false">IF(B2=H2,"Yes","No")</f>
        <v>Yes</v>
      </c>
    </row>
    <row r="3" customFormat="false" ht="15" hidden="false" customHeight="false" outlineLevel="0" collapsed="false">
      <c r="A3" s="0" t="s">
        <v>12</v>
      </c>
      <c r="B3" s="0" t="n">
        <f aca="false">VLOOKUP(A3,Pivot!A:C,2,FALSE())</f>
        <v>14090</v>
      </c>
      <c r="C3" s="0" t="n">
        <f aca="false">VLOOKUP(A3,Pivot!A:C,3,FALSE())</f>
        <v>66</v>
      </c>
      <c r="D3" s="0" t="n">
        <f aca="false">IFERROR(xlookup(A3,'Category Targets'!A:A,'Category Targets'!B:B),IFERROR(VLOOKUP(A3,'Category Targets'!A:B,2,FALSE()),"Not Found"))</f>
        <v>16500</v>
      </c>
      <c r="E3" s="0" t="n">
        <f aca="false">D3-B3</f>
        <v>2410</v>
      </c>
      <c r="F3" s="0" t="n">
        <f aca="false">((B3-D3)*100)/D3</f>
        <v>-14.6060606060606</v>
      </c>
      <c r="G3" s="0" t="str">
        <f aca="false">IF(B3&gt;=D3,"Above Target",IF(((D3-B3)*100/D3)&lt;=15,"Below Target - Watch","Below Target - Critical"))</f>
        <v>Below Target - Watch</v>
      </c>
      <c r="H3" s="0" t="n">
        <v>14090</v>
      </c>
      <c r="I3" s="0" t="str">
        <f aca="false">IF(B3=H3,"Yes","No")</f>
        <v>Yes</v>
      </c>
    </row>
    <row r="4" customFormat="false" ht="15" hidden="false" customHeight="false" outlineLevel="0" collapsed="false">
      <c r="A4" s="0" t="s">
        <v>13</v>
      </c>
      <c r="B4" s="0" t="n">
        <f aca="false">VLOOKUP(A4,Pivot!A:C,2,FALSE())</f>
        <v>9790</v>
      </c>
      <c r="C4" s="0" t="n">
        <f aca="false">VLOOKUP(A4,Pivot!A:C,3,FALSE())</f>
        <v>73</v>
      </c>
      <c r="D4" s="0" t="n">
        <f aca="false">IFERROR(xlookup(A4,'Category Targets'!A:A,'Category Targets'!B:B),IFERROR(VLOOKUP(A4,'Category Targets'!A:B,2,FALSE()),"Not Found"))</f>
        <v>12000</v>
      </c>
      <c r="E4" s="0" t="n">
        <f aca="false">D4-B4</f>
        <v>2210</v>
      </c>
      <c r="F4" s="0" t="n">
        <f aca="false">((B4-D4)*100)/D4</f>
        <v>-18.4166666666667</v>
      </c>
      <c r="G4" s="0" t="str">
        <f aca="false">IF(B4&gt;=D4,"Above Target",IF(((D4-B4)*100/D4)&lt;=15,"Below Target - Watch","Below Target - Critical"))</f>
        <v>Below Target - Critical</v>
      </c>
      <c r="H4" s="0" t="n">
        <v>9790</v>
      </c>
      <c r="I4" s="0" t="str">
        <f aca="false">IF(B4=H4,"Yes","No")</f>
        <v>Yes</v>
      </c>
    </row>
    <row r="5" customFormat="false" ht="15" hidden="false" customHeight="false" outlineLevel="0" collapsed="false">
      <c r="A5" s="0" t="s">
        <v>14</v>
      </c>
      <c r="B5" s="0" t="n">
        <f aca="false">VLOOKUP(A5,Pivot!A:C,2,FALSE())</f>
        <v>21715</v>
      </c>
      <c r="C5" s="0" t="n">
        <f aca="false">VLOOKUP(A5,Pivot!A:C,3,FALSE())</f>
        <v>79</v>
      </c>
      <c r="D5" s="0" t="n">
        <f aca="false">IFERROR(xlookup(A5,'Category Targets'!A:A,'Category Targets'!B:B),IFERROR(VLOOKUP(A5,'Category Targets'!A:B,2,FALSE()),"Not Found"))</f>
        <v>17000</v>
      </c>
      <c r="E5" s="0" t="n">
        <f aca="false">D5-B5</f>
        <v>-4715</v>
      </c>
      <c r="F5" s="0" t="n">
        <f aca="false">((B5-D5)*100)/D5</f>
        <v>27.7352941176471</v>
      </c>
      <c r="G5" s="0" t="str">
        <f aca="false">IF(B5&gt;=D5,"Above Target",IF(((D5-B5)*100/D5)&lt;=15,"Below Target - Watch","Below Target - Critical"))</f>
        <v>Above Target</v>
      </c>
      <c r="H5" s="0" t="n">
        <v>21715</v>
      </c>
      <c r="I5" s="0" t="str">
        <f aca="false">IF(B5=H5,"Yes","No")</f>
        <v>Yes</v>
      </c>
    </row>
    <row r="6" customFormat="false" ht="15" hidden="false" customHeight="false" outlineLevel="0" collapsed="false">
      <c r="A6" s="0" t="s">
        <v>15</v>
      </c>
      <c r="B6" s="0" t="n">
        <f aca="false">VLOOKUP(A6,Pivot!A:C,2,FALSE())</f>
        <v>16382</v>
      </c>
      <c r="C6" s="0" t="n">
        <f aca="false">VLOOKUP(A6,Pivot!A:C,3,FALSE())</f>
        <v>66</v>
      </c>
      <c r="D6" s="0" t="n">
        <f aca="false">IFERROR(xlookup(A6,'Category Targets'!A:A,'Category Targets'!B:B),IFERROR(VLOOKUP(A6,'Category Targets'!A:B,2,FALSE()),"Not Found"))</f>
        <v>15500</v>
      </c>
      <c r="E6" s="0" t="n">
        <f aca="false">D6-B6</f>
        <v>-882</v>
      </c>
      <c r="F6" s="0" t="n">
        <f aca="false">((B6-D6)*100)/D6</f>
        <v>5.69032258064516</v>
      </c>
      <c r="G6" s="0" t="str">
        <f aca="false">IF(B6&gt;=D6,"Above Target",IF(((D6-B6)*100/D6)&lt;=15,"Below Target - Watch","Below Target - Critical"))</f>
        <v>Above Target</v>
      </c>
      <c r="H6" s="0" t="n">
        <v>16382</v>
      </c>
      <c r="I6" s="0" t="str">
        <f aca="false">IF(B6=H6,"Yes","No")</f>
        <v>Yes</v>
      </c>
    </row>
    <row r="7" customFormat="false" ht="15" hidden="false" customHeight="false" outlineLevel="0" collapsed="false">
      <c r="A7" s="0" t="s">
        <v>16</v>
      </c>
      <c r="B7" s="0" t="n">
        <f aca="false">VLOOKUP(A7,Pivot!A:C,2,FALSE())</f>
        <v>10895</v>
      </c>
      <c r="C7" s="0" t="n">
        <f aca="false">VLOOKUP(A7,Pivot!A:C,3,FALSE())</f>
        <v>83</v>
      </c>
      <c r="D7" s="0" t="n">
        <f aca="false">IFERROR(xlookup(A7,'Category Targets'!A:A,'Category Targets'!B:B),IFERROR(VLOOKUP(A7,'Category Targets'!A:B,2,FALSE()),"Not Found"))</f>
        <v>13000</v>
      </c>
      <c r="E7" s="0" t="n">
        <f aca="false">D7-B7</f>
        <v>2105</v>
      </c>
      <c r="F7" s="0" t="n">
        <f aca="false">((B7-D7)*100)/D7</f>
        <v>-16.1923076923077</v>
      </c>
      <c r="G7" s="0" t="str">
        <f aca="false">IF(B7&gt;=D7,"Above Target",IF(((D7-B7)*100/D7)&lt;=15,"Below Target - Watch","Below Target - Critical"))</f>
        <v>Below Target - Critical</v>
      </c>
      <c r="H7" s="0" t="n">
        <v>10895</v>
      </c>
      <c r="I7" s="0" t="str">
        <f aca="false">IF(B7=H7,"Yes","No")</f>
        <v>Yes</v>
      </c>
    </row>
  </sheetData>
  <conditionalFormatting sqref="G2:G7">
    <cfRule type="cellIs" priority="2" operator="equal" aboveAverage="0" equalAverage="0" bottom="0" percent="0" rank="0" text="" dxfId="0">
      <formula>"Above Target"</formula>
    </cfRule>
    <cfRule type="cellIs" priority="3" operator="equal" aboveAverage="0" equalAverage="0" bottom="0" percent="0" rank="0" text="" dxfId="1">
      <formula>"Below Target - Watch"</formula>
    </cfRule>
    <cfRule type="cellIs" priority="4" operator="equal" aboveAverage="0" equalAverage="0" bottom="0" percent="0" rank="0" text="" dxfId="2">
      <formula>"Below Target - Critical"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2026-09-03T15:32:22Z</dcterms:created>
  <dc:creator>openpyxl</dc:creator>
  <dc:description/>
  <dc:language>en-US</dc:language>
  <cp:lastModifiedBy/>
  <dcterms:modified xsi:type="dcterms:W3CDTF">2026-09-03T15:32:22Z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