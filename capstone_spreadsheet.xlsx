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 Table" sheetId="3" state="visible" r:id="rId3"/>
    <sheet xmlns:r="http://schemas.openxmlformats.org/officeDocument/2006/relationships" name="Category Summary" sheetId="4" state="visible" r:id="rId4"/>
  </sheets>
  <definedNames/>
  <calcPr calcId="124519" fullCalcOnLoad="1" refMode="A1" iterate="0" iterateCount="100" iterateDelta="0.0001"/>
  <pivotCaches>
    <pivotCache xmlns:r="http://schemas.openxmlformats.org/officeDocument/2006/relationships" cacheId="1" r:id="rId5"/>
  </pivotCaches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4" fillId="0" borderId="0" applyAlignment="1">
      <alignment horizontal="left" vertical="bottom"/>
    </xf>
    <xf numFmtId="0" fontId="4" fillId="0" borderId="0" applyAlignment="1">
      <alignment horizontal="general" vertical="bottom"/>
    </xf>
  </cellStyleXfs>
  <cellXfs count="41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0">
      <alignment horizontal="general" vertical="bottom"/>
    </xf>
    <xf numFmtId="0" fontId="0" fillId="0" borderId="4" applyAlignment="1" pivotButton="0" quotePrefix="0" xfId="22">
      <alignment horizontal="general" vertical="bottom"/>
    </xf>
    <xf numFmtId="0" fontId="0" fillId="0" borderId="5" applyAlignment="1" pivotButton="0" quotePrefix="0" xfId="23">
      <alignment horizontal="left" vertical="bottom"/>
    </xf>
    <xf numFmtId="0" fontId="0" fillId="0" borderId="6" applyAlignment="1" pivotButton="0" quotePrefix="0" xfId="23">
      <alignment horizontal="left" vertical="bottom"/>
    </xf>
    <xf numFmtId="0" fontId="0" fillId="0" borderId="7" applyAlignment="1" pivotButton="0" quotePrefix="0" xfId="23">
      <alignment horizontal="left" vertical="bottom"/>
    </xf>
    <xf numFmtId="0" fontId="0" fillId="0" borderId="8" applyAlignment="1" pivotButton="0" quotePrefix="0" xfId="21">
      <alignment horizontal="general" vertical="bottom"/>
    </xf>
    <xf numFmtId="0" fontId="0" fillId="0" borderId="9" applyAlignment="1" pivotButton="0" quotePrefix="0" xfId="21">
      <alignment horizontal="general" vertical="bottom"/>
    </xf>
    <xf numFmtId="0" fontId="0" fillId="0" borderId="10" applyAlignment="1" pivotButton="0" quotePrefix="0" xfId="23">
      <alignment horizontal="left" vertical="bottom"/>
    </xf>
    <xf numFmtId="0" fontId="0" fillId="0" borderId="11" applyAlignment="1" pivotButton="0" quotePrefix="0" xfId="21">
      <alignment horizontal="general" vertical="bottom"/>
    </xf>
    <xf numFmtId="0" fontId="0" fillId="0" borderId="12" applyAlignment="1" pivotButton="0" quotePrefix="0" xfId="21">
      <alignment horizontal="general" vertical="bottom"/>
    </xf>
    <xf numFmtId="0" fontId="0" fillId="0" borderId="5" applyAlignment="1" pivotButton="0" quotePrefix="0" xfId="21">
      <alignment horizontal="general" vertical="bottom"/>
    </xf>
    <xf numFmtId="0" fontId="0" fillId="0" borderId="6" applyAlignment="1" pivotButton="0" quotePrefix="0" xfId="21">
      <alignment horizontal="general" vertical="bottom"/>
    </xf>
    <xf numFmtId="0" fontId="4" fillId="0" borderId="13" applyAlignment="1" pivotButton="0" quotePrefix="0" xfId="24">
      <alignment horizontal="left" vertical="bottom"/>
    </xf>
    <xf numFmtId="0" fontId="4" fillId="0" borderId="14" applyAlignment="1" pivotButton="0" quotePrefix="0" xfId="25">
      <alignment horizontal="general" vertical="bottom"/>
    </xf>
    <xf numFmtId="0" fontId="4" fillId="0" borderId="15" applyAlignment="1" pivotButton="0" quotePrefix="0" xfId="2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0">
      <alignment horizontal="general" vertical="bottom"/>
    </xf>
    <xf numFmtId="0" fontId="0" fillId="0" borderId="4" applyAlignment="1" pivotButton="0" quotePrefix="0" xfId="22">
      <alignment horizontal="general" vertical="bottom"/>
    </xf>
    <xf numFmtId="0" fontId="0" fillId="0" borderId="5" applyAlignment="1" pivotButton="0" quotePrefix="0" xfId="23">
      <alignment horizontal="left" vertical="bottom"/>
    </xf>
    <xf numFmtId="0" fontId="0" fillId="0" borderId="6" applyAlignment="1" pivotButton="0" quotePrefix="0" xfId="23">
      <alignment horizontal="left" vertical="bottom"/>
    </xf>
    <xf numFmtId="0" fontId="0" fillId="0" borderId="7" applyAlignment="1" pivotButton="0" quotePrefix="0" xfId="23">
      <alignment horizontal="left" vertical="bottom"/>
    </xf>
    <xf numFmtId="0" fontId="0" fillId="0" borderId="8" applyAlignment="1" pivotButton="0" quotePrefix="0" xfId="21">
      <alignment horizontal="general" vertical="bottom"/>
    </xf>
    <xf numFmtId="0" fontId="0" fillId="0" borderId="9" applyAlignment="1" pivotButton="0" quotePrefix="0" xfId="21">
      <alignment horizontal="general" vertical="bottom"/>
    </xf>
    <xf numFmtId="0" fontId="0" fillId="0" borderId="10" applyAlignment="1" pivotButton="0" quotePrefix="0" xfId="23">
      <alignment horizontal="left" vertical="bottom"/>
    </xf>
    <xf numFmtId="0" fontId="0" fillId="0" borderId="11" applyAlignment="1" pivotButton="0" quotePrefix="0" xfId="21">
      <alignment horizontal="general" vertical="bottom"/>
    </xf>
    <xf numFmtId="0" fontId="0" fillId="0" borderId="12" applyAlignment="1" pivotButton="0" quotePrefix="0" xfId="21">
      <alignment horizontal="general" vertical="bottom"/>
    </xf>
    <xf numFmtId="0" fontId="0" fillId="0" borderId="5" applyAlignment="1" pivotButton="0" quotePrefix="0" xfId="21">
      <alignment horizontal="general" vertical="bottom"/>
    </xf>
    <xf numFmtId="0" fontId="0" fillId="0" borderId="6" applyAlignment="1" pivotButton="0" quotePrefix="0" xfId="21">
      <alignment horizontal="general" vertical="bottom"/>
    </xf>
    <xf numFmtId="0" fontId="4" fillId="0" borderId="13" applyAlignment="1" pivotButton="0" quotePrefix="0" xfId="24">
      <alignment horizontal="left" vertical="bottom"/>
    </xf>
    <xf numFmtId="0" fontId="4" fillId="0" borderId="14" applyAlignment="1" pivotButton="0" quotePrefix="0" xfId="25">
      <alignment horizontal="general" vertical="bottom"/>
    </xf>
    <xf numFmtId="0" fontId="4" fillId="0" borderId="15" applyAlignment="1" pivotButton="0" quotePrefix="0" xfId="25">
      <alignment horizontal="general" vertical="bottom"/>
    </xf>
    <xf numFmtId="0" fontId="6" fillId="0" borderId="0" pivotButton="0" quotePrefix="0" xfId="0"/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Pivot Table Corner" xfId="6"/>
    <cellStyle name="Pivot Table Value" xfId="7"/>
    <cellStyle name="Pivot Table Field" xfId="8"/>
    <cellStyle name="Pivot Table Category" xfId="9"/>
    <cellStyle name="Pivot Table Title" xfId="10"/>
    <cellStyle name="Pivot Table Result" xfId="11"/>
  </cellStyles>
  <dxfs count="3">
    <dxf>
      <fill>
        <patternFill patternType="solid">
          <fgColor rgb="00B7D7A8"/>
          <bgColor rgb="00B7D7A8"/>
        </patternFill>
      </fill>
    </dxf>
    <dxf>
      <fill>
        <patternFill patternType="solid">
          <fgColor rgb="00F9CB9C"/>
          <bgColor rgb="00F9CB9C"/>
        </patternFill>
      </fill>
    </dxf>
    <dxf>
      <fill>
        <patternFill patternType="solid">
          <fgColor rgb="00EA9999"/>
          <bgColor rgb="00EA999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36" r:id="rId1">
  <cacheSource type="worksheet">
    <worksheetSource ref="A1:E37" sheet="Monthly Data"/>
  </cacheSource>
  <cacheFields count="5">
    <cacheField name="category" uniqueList="1" numFmtId="0" sqlType="0" hierarchy="0" level="0" databaseField="1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uniqueList="1" numFmtId="0" sqlType="0" hierarchy="0" level="0" databaseField="1">
      <sharedItems count="6">
        <s v="2026-01"/>
        <s v="2026-02"/>
        <s v="2026-03"/>
        <s v="2026-04"/>
        <s v="2026-05"/>
        <s v="2026-06"/>
      </sharedItems>
    </cacheField>
    <cacheField name="order_count" uniqueList="1" numFmtId="0" sqlType="0" hierarchy="0" level="0" databaseField="1">
      <sharedItems count="12" containsInteger="1" containsNumber="1" containsSemiMixedTypes="0" containsString="0" minValue="6" maxValue="19">
        <n v="6"/>
        <n v="8"/>
        <n v="9"/>
        <n v="10"/>
        <n v="11"/>
        <n v="12"/>
        <n v="13"/>
        <n v="14"/>
        <n v="15"/>
        <n v="16"/>
        <n v="17"/>
        <n v="19"/>
      </sharedItems>
    </cacheField>
    <cacheField name="total_revenue" uniqueList="1" numFmtId="0" sqlType="0" hierarchy="0" level="0" databaseField="1">
      <sharedItems count="35" containsInteger="1" containsNumber="1" containsSemiMixedTypes="0" containsString="0" minValue="735" maxValue="5491">
        <n v="735"/>
        <n v="1060"/>
        <n v="1290"/>
        <n v="1330"/>
        <n v="1400"/>
        <n v="1650"/>
        <n v="1665"/>
        <n v="1670"/>
        <n v="1828"/>
        <n v="1870"/>
        <n v="1885"/>
        <n v="1935"/>
        <n v="1960"/>
        <n v="1970"/>
        <n v="2035"/>
        <n v="2080"/>
        <n v="2090"/>
        <n v="2099"/>
        <n v="2177"/>
        <n v="2335"/>
        <n v="2440"/>
        <n v="2775"/>
        <n v="2807"/>
        <n v="2980"/>
        <n v="3045"/>
        <n v="3090"/>
        <n v="3115"/>
        <n v="3163"/>
        <n v="3477"/>
        <n v="3479"/>
        <n v="3608"/>
        <n v="3650"/>
        <n v="3695"/>
        <n v="5113"/>
        <n v="5491"/>
      </sharedItems>
    </cacheField>
    <cacheField name="avg_revenue" uniqueList="1" numFmtId="0" sqlType="0" hierarchy="0" level="0" databaseField="1">
      <sharedItems count="36" containsNumber="1" containsSemiMixedTypes="0" containsString="0" minValue="100" maxValue="323">
        <n v="100"/>
        <n v="107.5"/>
        <n v="111.333333333333"/>
        <n v="117.777777777778"/>
        <n v="120.909090909091"/>
        <n v="122.5"/>
        <n v="128.076923076923"/>
        <n v="129"/>
        <n v="130.666666666667"/>
        <n v="155.833333333333"/>
        <n v="156.842105263158"/>
        <n v="160"/>
        <n v="160.769230769231"/>
        <n v="166.181818181818"/>
        <n v="166.785714285714"/>
        <n v="183.333333333333"/>
        <n v="209.9"/>
        <n v="210.866666666667"/>
        <n v="213.461538461539"/>
        <n v="217.3125"/>
        <n v="218.888888888889"/>
        <n v="226.111111111111"/>
        <n v="234.230769230769"/>
        <n v="235.625"/>
        <n v="239.615384615385"/>
        <n v="241.875"/>
        <n v="246.333333333333"/>
        <n v="248.5"/>
        <n v="255.181818181818"/>
        <n v="272.125"/>
        <n v="280.909090909091"/>
        <n v="300.666666666667"/>
        <n v="304.166666666667"/>
        <n v="305"/>
        <n v="319.5625"/>
        <n v="323"/>
      </sharedItems>
    </cacheField>
  </cacheFields>
</pivotCacheDefinition>
</file>

<file path=xl/pivotCache/pivotCacheRecords1.xml><?xml version="1.0" encoding="utf-8"?>
<pivotCacheRecords xmlns="http://schemas.openxmlformats.org/spreadsheetml/2006/main" count="36">
  <r>
    <x v="0"/>
    <x v="0"/>
    <x v="0"/>
    <x v="0"/>
    <x v="5"/>
  </r>
  <r>
    <x v="0"/>
    <x v="1"/>
    <x v="1"/>
    <x v="20"/>
    <x v="33"/>
  </r>
  <r>
    <x v="0"/>
    <x v="2"/>
    <x v="4"/>
    <x v="25"/>
    <x v="30"/>
  </r>
  <r>
    <x v="0"/>
    <x v="3"/>
    <x v="6"/>
    <x v="26"/>
    <x v="24"/>
  </r>
  <r>
    <x v="0"/>
    <x v="4"/>
    <x v="8"/>
    <x v="32"/>
    <x v="26"/>
  </r>
  <r>
    <x v="0"/>
    <x v="5"/>
    <x v="7"/>
    <x v="19"/>
    <x v="14"/>
  </r>
  <r>
    <x v="1"/>
    <x v="0"/>
    <x v="2"/>
    <x v="14"/>
    <x v="21"/>
  </r>
  <r>
    <x v="1"/>
    <x v="1"/>
    <x v="1"/>
    <x v="11"/>
    <x v="25"/>
  </r>
  <r>
    <x v="1"/>
    <x v="2"/>
    <x v="8"/>
    <x v="27"/>
    <x v="17"/>
  </r>
  <r>
    <x v="1"/>
    <x v="3"/>
    <x v="2"/>
    <x v="5"/>
    <x v="15"/>
  </r>
  <r>
    <x v="1"/>
    <x v="4"/>
    <x v="7"/>
    <x v="29"/>
    <x v="27"/>
  </r>
  <r>
    <x v="1"/>
    <x v="5"/>
    <x v="4"/>
    <x v="8"/>
    <x v="13"/>
  </r>
  <r>
    <x v="2"/>
    <x v="0"/>
    <x v="5"/>
    <x v="2"/>
    <x v="1"/>
  </r>
  <r>
    <x v="2"/>
    <x v="1"/>
    <x v="6"/>
    <x v="16"/>
    <x v="12"/>
  </r>
  <r>
    <x v="2"/>
    <x v="2"/>
    <x v="6"/>
    <x v="15"/>
    <x v="11"/>
  </r>
  <r>
    <x v="2"/>
    <x v="3"/>
    <x v="7"/>
    <x v="4"/>
    <x v="0"/>
  </r>
  <r>
    <x v="2"/>
    <x v="4"/>
    <x v="5"/>
    <x v="9"/>
    <x v="9"/>
  </r>
  <r>
    <x v="2"/>
    <x v="5"/>
    <x v="2"/>
    <x v="1"/>
    <x v="3"/>
  </r>
  <r>
    <x v="3"/>
    <x v="0"/>
    <x v="3"/>
    <x v="17"/>
    <x v="16"/>
  </r>
  <r>
    <x v="3"/>
    <x v="1"/>
    <x v="9"/>
    <x v="33"/>
    <x v="34"/>
  </r>
  <r>
    <x v="3"/>
    <x v="2"/>
    <x v="1"/>
    <x v="10"/>
    <x v="23"/>
  </r>
  <r>
    <x v="3"/>
    <x v="3"/>
    <x v="10"/>
    <x v="34"/>
    <x v="35"/>
  </r>
  <r>
    <x v="3"/>
    <x v="4"/>
    <x v="9"/>
    <x v="28"/>
    <x v="19"/>
  </r>
  <r>
    <x v="3"/>
    <x v="5"/>
    <x v="5"/>
    <x v="31"/>
    <x v="32"/>
  </r>
  <r>
    <x v="4"/>
    <x v="0"/>
    <x v="5"/>
    <x v="30"/>
    <x v="31"/>
  </r>
  <r>
    <x v="4"/>
    <x v="1"/>
    <x v="1"/>
    <x v="18"/>
    <x v="29"/>
  </r>
  <r>
    <x v="4"/>
    <x v="2"/>
    <x v="4"/>
    <x v="22"/>
    <x v="28"/>
  </r>
  <r>
    <x v="4"/>
    <x v="3"/>
    <x v="2"/>
    <x v="13"/>
    <x v="20"/>
  </r>
  <r>
    <x v="4"/>
    <x v="4"/>
    <x v="6"/>
    <x v="24"/>
    <x v="22"/>
  </r>
  <r>
    <x v="4"/>
    <x v="5"/>
    <x v="6"/>
    <x v="21"/>
    <x v="18"/>
  </r>
  <r>
    <x v="5"/>
    <x v="0"/>
    <x v="3"/>
    <x v="2"/>
    <x v="7"/>
  </r>
  <r>
    <x v="5"/>
    <x v="1"/>
    <x v="4"/>
    <x v="3"/>
    <x v="4"/>
  </r>
  <r>
    <x v="5"/>
    <x v="2"/>
    <x v="8"/>
    <x v="7"/>
    <x v="2"/>
  </r>
  <r>
    <x v="5"/>
    <x v="3"/>
    <x v="11"/>
    <x v="23"/>
    <x v="10"/>
  </r>
  <r>
    <x v="5"/>
    <x v="4"/>
    <x v="6"/>
    <x v="6"/>
    <x v="6"/>
  </r>
  <r>
    <x v="5"/>
    <x v="5"/>
    <x v="8"/>
    <x v="12"/>
    <x v="8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CategoryRevenuePivot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C11" firstHeaderRow="1" firstDataRow="2" firstDataCol="1"/>
  <pivotFields count="5">
    <pivotField axis="axisRow" showDropDowns="1" compact="0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0"/>
  </rowFields>
  <colFields count="1">
    <field x="-2"/>
  </colFields>
  <dataFields count="2">
    <dataField name="Sum - total_revenue" fld="3" subtotal="sum" showDataAs="normal" baseField="-1" baseItem="1048832" numFmtId="164"/>
    <dataField name="Sum - order_count" fld="2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0" min="1" max="1"/>
    <col width="12" customWidth="1" style="20" min="2" max="2"/>
    <col width="13" customWidth="1" style="20" min="3" max="3"/>
    <col width="15" customWidth="1" style="20" min="4" max="4"/>
    <col width="14" customWidth="1" style="20" min="5" max="5"/>
  </cols>
  <sheetData>
    <row r="1" ht="15" customHeight="1" s="21">
      <c r="A1" s="22" t="inlineStr">
        <is>
          <t>category</t>
        </is>
      </c>
      <c r="B1" s="22" t="inlineStr">
        <is>
          <t>month</t>
        </is>
      </c>
      <c r="C1" s="22" t="inlineStr">
        <is>
          <t>order_count</t>
        </is>
      </c>
      <c r="D1" s="22" t="inlineStr">
        <is>
          <t>total_revenue</t>
        </is>
      </c>
      <c r="E1" s="22" t="inlineStr">
        <is>
          <t>avg_revenue</t>
        </is>
      </c>
    </row>
    <row r="2" ht="15" customHeight="1" s="21">
      <c r="A2" s="20" t="inlineStr">
        <is>
          <t>Bakery</t>
        </is>
      </c>
      <c r="B2" s="20" t="inlineStr">
        <is>
          <t>2026-01</t>
        </is>
      </c>
      <c r="C2" s="20" t="n">
        <v>6</v>
      </c>
      <c r="D2" s="20" t="n">
        <v>735</v>
      </c>
      <c r="E2" s="20" t="n">
        <v>122.5</v>
      </c>
    </row>
    <row r="3" ht="15" customHeight="1" s="21">
      <c r="A3" s="20" t="inlineStr">
        <is>
          <t>Bakery</t>
        </is>
      </c>
      <c r="B3" s="20" t="inlineStr">
        <is>
          <t>2026-02</t>
        </is>
      </c>
      <c r="C3" s="20" t="n">
        <v>8</v>
      </c>
      <c r="D3" s="20" t="n">
        <v>2440</v>
      </c>
      <c r="E3" s="20" t="n">
        <v>305</v>
      </c>
    </row>
    <row r="4" ht="15" customHeight="1" s="21">
      <c r="A4" s="20" t="inlineStr">
        <is>
          <t>Bakery</t>
        </is>
      </c>
      <c r="B4" s="20" t="inlineStr">
        <is>
          <t>2026-03</t>
        </is>
      </c>
      <c r="C4" s="20" t="n">
        <v>11</v>
      </c>
      <c r="D4" s="20" t="n">
        <v>3090</v>
      </c>
      <c r="E4" s="20" t="n">
        <v>280.909090909091</v>
      </c>
    </row>
    <row r="5" ht="15" customHeight="1" s="21">
      <c r="A5" s="20" t="inlineStr">
        <is>
          <t>Bakery</t>
        </is>
      </c>
      <c r="B5" s="20" t="inlineStr">
        <is>
          <t>2026-04</t>
        </is>
      </c>
      <c r="C5" s="20" t="n">
        <v>13</v>
      </c>
      <c r="D5" s="20" t="n">
        <v>3115</v>
      </c>
      <c r="E5" s="20" t="n">
        <v>239.615384615385</v>
      </c>
    </row>
    <row r="6" ht="15" customHeight="1" s="21">
      <c r="A6" s="20" t="inlineStr">
        <is>
          <t>Bakery</t>
        </is>
      </c>
      <c r="B6" s="20" t="inlineStr">
        <is>
          <t>2026-05</t>
        </is>
      </c>
      <c r="C6" s="20" t="n">
        <v>15</v>
      </c>
      <c r="D6" s="20" t="n">
        <v>3695</v>
      </c>
      <c r="E6" s="20" t="n">
        <v>246.333333333333</v>
      </c>
    </row>
    <row r="7" ht="15" customHeight="1" s="21">
      <c r="A7" s="20" t="inlineStr">
        <is>
          <t>Bakery</t>
        </is>
      </c>
      <c r="B7" s="20" t="inlineStr">
        <is>
          <t>2026-06</t>
        </is>
      </c>
      <c r="C7" s="20" t="n">
        <v>14</v>
      </c>
      <c r="D7" s="20" t="n">
        <v>2335</v>
      </c>
      <c r="E7" s="20" t="n">
        <v>166.785714285714</v>
      </c>
    </row>
    <row r="8" ht="15" customHeight="1" s="21">
      <c r="A8" s="20" t="inlineStr">
        <is>
          <t>Dairy &amp; Eggs</t>
        </is>
      </c>
      <c r="B8" s="20" t="inlineStr">
        <is>
          <t>2026-01</t>
        </is>
      </c>
      <c r="C8" s="20" t="n">
        <v>9</v>
      </c>
      <c r="D8" s="20" t="n">
        <v>2035</v>
      </c>
      <c r="E8" s="20" t="n">
        <v>226.111111111111</v>
      </c>
    </row>
    <row r="9" ht="15" customHeight="1" s="21">
      <c r="A9" s="20" t="inlineStr">
        <is>
          <t>Dairy &amp; Eggs</t>
        </is>
      </c>
      <c r="B9" s="20" t="inlineStr">
        <is>
          <t>2026-02</t>
        </is>
      </c>
      <c r="C9" s="20" t="n">
        <v>8</v>
      </c>
      <c r="D9" s="20" t="n">
        <v>1935</v>
      </c>
      <c r="E9" s="20" t="n">
        <v>241.875</v>
      </c>
    </row>
    <row r="10" ht="15" customHeight="1" s="21">
      <c r="A10" s="20" t="inlineStr">
        <is>
          <t>Dairy &amp; Eggs</t>
        </is>
      </c>
      <c r="B10" s="20" t="inlineStr">
        <is>
          <t>2026-03</t>
        </is>
      </c>
      <c r="C10" s="20" t="n">
        <v>15</v>
      </c>
      <c r="D10" s="20" t="n">
        <v>3163</v>
      </c>
      <c r="E10" s="20" t="n">
        <v>210.866666666667</v>
      </c>
    </row>
    <row r="11" ht="15" customHeight="1" s="21">
      <c r="A11" s="20" t="inlineStr">
        <is>
          <t>Dairy &amp; Eggs</t>
        </is>
      </c>
      <c r="B11" s="20" t="inlineStr">
        <is>
          <t>2026-04</t>
        </is>
      </c>
      <c r="C11" s="20" t="n">
        <v>9</v>
      </c>
      <c r="D11" s="20" t="n">
        <v>1650</v>
      </c>
      <c r="E11" s="20" t="n">
        <v>183.333333333333</v>
      </c>
    </row>
    <row r="12" ht="15" customHeight="1" s="21">
      <c r="A12" s="20" t="inlineStr">
        <is>
          <t>Dairy &amp; Eggs</t>
        </is>
      </c>
      <c r="B12" s="20" t="inlineStr">
        <is>
          <t>2026-05</t>
        </is>
      </c>
      <c r="C12" s="20" t="n">
        <v>14</v>
      </c>
      <c r="D12" s="20" t="n">
        <v>3479</v>
      </c>
      <c r="E12" s="20" t="n">
        <v>248.5</v>
      </c>
    </row>
    <row r="13" ht="15" customHeight="1" s="21">
      <c r="A13" s="20" t="inlineStr">
        <is>
          <t>Dairy &amp; Eggs</t>
        </is>
      </c>
      <c r="B13" s="20" t="inlineStr">
        <is>
          <t>2026-06</t>
        </is>
      </c>
      <c r="C13" s="20" t="n">
        <v>11</v>
      </c>
      <c r="D13" s="20" t="n">
        <v>1828</v>
      </c>
      <c r="E13" s="20" t="n">
        <v>166.181818181818</v>
      </c>
    </row>
    <row r="14" ht="15" customHeight="1" s="21">
      <c r="A14" s="20" t="inlineStr">
        <is>
          <t>Fruits &amp; Vegetables</t>
        </is>
      </c>
      <c r="B14" s="20" t="inlineStr">
        <is>
          <t>2026-01</t>
        </is>
      </c>
      <c r="C14" s="20" t="n">
        <v>12</v>
      </c>
      <c r="D14" s="20" t="n">
        <v>1290</v>
      </c>
      <c r="E14" s="20" t="n">
        <v>107.5</v>
      </c>
    </row>
    <row r="15" ht="15" customHeight="1" s="21">
      <c r="A15" s="20" t="inlineStr">
        <is>
          <t>Fruits &amp; Vegetables</t>
        </is>
      </c>
      <c r="B15" s="20" t="inlineStr">
        <is>
          <t>2026-02</t>
        </is>
      </c>
      <c r="C15" s="20" t="n">
        <v>13</v>
      </c>
      <c r="D15" s="20" t="n">
        <v>2090</v>
      </c>
      <c r="E15" s="20" t="n">
        <v>160.769230769231</v>
      </c>
    </row>
    <row r="16" ht="15" customHeight="1" s="21">
      <c r="A16" s="20" t="inlineStr">
        <is>
          <t>Fruits &amp; Vegetables</t>
        </is>
      </c>
      <c r="B16" s="20" t="inlineStr">
        <is>
          <t>2026-03</t>
        </is>
      </c>
      <c r="C16" s="20" t="n">
        <v>13</v>
      </c>
      <c r="D16" s="20" t="n">
        <v>2080</v>
      </c>
      <c r="E16" s="20" t="n">
        <v>160</v>
      </c>
    </row>
    <row r="17" ht="15" customHeight="1" s="21">
      <c r="A17" s="20" t="inlineStr">
        <is>
          <t>Fruits &amp; Vegetables</t>
        </is>
      </c>
      <c r="B17" s="20" t="inlineStr">
        <is>
          <t>2026-04</t>
        </is>
      </c>
      <c r="C17" s="20" t="n">
        <v>14</v>
      </c>
      <c r="D17" s="20" t="n">
        <v>1400</v>
      </c>
      <c r="E17" s="20" t="n">
        <v>100</v>
      </c>
    </row>
    <row r="18" ht="15" customHeight="1" s="21">
      <c r="A18" s="20" t="inlineStr">
        <is>
          <t>Fruits &amp; Vegetables</t>
        </is>
      </c>
      <c r="B18" s="20" t="inlineStr">
        <is>
          <t>2026-05</t>
        </is>
      </c>
      <c r="C18" s="20" t="n">
        <v>12</v>
      </c>
      <c r="D18" s="20" t="n">
        <v>1870</v>
      </c>
      <c r="E18" s="20" t="n">
        <v>155.833333333333</v>
      </c>
    </row>
    <row r="19" ht="15" customHeight="1" s="21">
      <c r="A19" s="20" t="inlineStr">
        <is>
          <t>Fruits &amp; Vegetables</t>
        </is>
      </c>
      <c r="B19" s="20" t="inlineStr">
        <is>
          <t>2026-06</t>
        </is>
      </c>
      <c r="C19" s="20" t="n">
        <v>9</v>
      </c>
      <c r="D19" s="20" t="n">
        <v>1060</v>
      </c>
      <c r="E19" s="20" t="n">
        <v>117.777777777778</v>
      </c>
    </row>
    <row r="20" ht="15" customHeight="1" s="21">
      <c r="A20" s="20" t="inlineStr">
        <is>
          <t>Household Essentials</t>
        </is>
      </c>
      <c r="B20" s="20" t="inlineStr">
        <is>
          <t>2026-01</t>
        </is>
      </c>
      <c r="C20" s="20" t="n">
        <v>10</v>
      </c>
      <c r="D20" s="20" t="n">
        <v>2099</v>
      </c>
      <c r="E20" s="20" t="n">
        <v>209.9</v>
      </c>
    </row>
    <row r="21" ht="15" customHeight="1" s="21">
      <c r="A21" s="20" t="inlineStr">
        <is>
          <t>Household Essentials</t>
        </is>
      </c>
      <c r="B21" s="20" t="inlineStr">
        <is>
          <t>2026-02</t>
        </is>
      </c>
      <c r="C21" s="20" t="n">
        <v>16</v>
      </c>
      <c r="D21" s="20" t="n">
        <v>5113</v>
      </c>
      <c r="E21" s="20" t="n">
        <v>319.5625</v>
      </c>
    </row>
    <row r="22" ht="15" customHeight="1" s="21">
      <c r="A22" s="20" t="inlineStr">
        <is>
          <t>Household Essentials</t>
        </is>
      </c>
      <c r="B22" s="20" t="inlineStr">
        <is>
          <t>2026-03</t>
        </is>
      </c>
      <c r="C22" s="20" t="n">
        <v>8</v>
      </c>
      <c r="D22" s="20" t="n">
        <v>1885</v>
      </c>
      <c r="E22" s="20" t="n">
        <v>235.625</v>
      </c>
    </row>
    <row r="23" ht="15" customHeight="1" s="21">
      <c r="A23" s="20" t="inlineStr">
        <is>
          <t>Household Essentials</t>
        </is>
      </c>
      <c r="B23" s="20" t="inlineStr">
        <is>
          <t>2026-04</t>
        </is>
      </c>
      <c r="C23" s="20" t="n">
        <v>17</v>
      </c>
      <c r="D23" s="20" t="n">
        <v>5491</v>
      </c>
      <c r="E23" s="20" t="n">
        <v>323</v>
      </c>
    </row>
    <row r="24" ht="15" customHeight="1" s="21">
      <c r="A24" s="20" t="inlineStr">
        <is>
          <t>Household Essentials</t>
        </is>
      </c>
      <c r="B24" s="20" t="inlineStr">
        <is>
          <t>2026-05</t>
        </is>
      </c>
      <c r="C24" s="20" t="n">
        <v>16</v>
      </c>
      <c r="D24" s="20" t="n">
        <v>3477</v>
      </c>
      <c r="E24" s="20" t="n">
        <v>217.3125</v>
      </c>
    </row>
    <row r="25" ht="15" customHeight="1" s="21">
      <c r="A25" s="20" t="inlineStr">
        <is>
          <t>Household Essentials</t>
        </is>
      </c>
      <c r="B25" s="20" t="inlineStr">
        <is>
          <t>2026-06</t>
        </is>
      </c>
      <c r="C25" s="20" t="n">
        <v>12</v>
      </c>
      <c r="D25" s="20" t="n">
        <v>3650</v>
      </c>
      <c r="E25" s="20" t="n">
        <v>304.166666666667</v>
      </c>
    </row>
    <row r="26" ht="15" customHeight="1" s="21">
      <c r="A26" s="20" t="inlineStr">
        <is>
          <t>Personal Care</t>
        </is>
      </c>
      <c r="B26" s="20" t="inlineStr">
        <is>
          <t>2026-01</t>
        </is>
      </c>
      <c r="C26" s="20" t="n">
        <v>12</v>
      </c>
      <c r="D26" s="20" t="n">
        <v>3608</v>
      </c>
      <c r="E26" s="20" t="n">
        <v>300.666666666667</v>
      </c>
    </row>
    <row r="27" ht="15" customHeight="1" s="21">
      <c r="A27" s="20" t="inlineStr">
        <is>
          <t>Personal Care</t>
        </is>
      </c>
      <c r="B27" s="20" t="inlineStr">
        <is>
          <t>2026-02</t>
        </is>
      </c>
      <c r="C27" s="20" t="n">
        <v>8</v>
      </c>
      <c r="D27" s="20" t="n">
        <v>2177</v>
      </c>
      <c r="E27" s="20" t="n">
        <v>272.125</v>
      </c>
    </row>
    <row r="28" ht="15" customHeight="1" s="21">
      <c r="A28" s="20" t="inlineStr">
        <is>
          <t>Personal Care</t>
        </is>
      </c>
      <c r="B28" s="20" t="inlineStr">
        <is>
          <t>2026-03</t>
        </is>
      </c>
      <c r="C28" s="20" t="n">
        <v>11</v>
      </c>
      <c r="D28" s="20" t="n">
        <v>2807</v>
      </c>
      <c r="E28" s="20" t="n">
        <v>255.181818181818</v>
      </c>
    </row>
    <row r="29" ht="15" customHeight="1" s="21">
      <c r="A29" s="20" t="inlineStr">
        <is>
          <t>Personal Care</t>
        </is>
      </c>
      <c r="B29" s="20" t="inlineStr">
        <is>
          <t>2026-04</t>
        </is>
      </c>
      <c r="C29" s="20" t="n">
        <v>9</v>
      </c>
      <c r="D29" s="20" t="n">
        <v>1970</v>
      </c>
      <c r="E29" s="20" t="n">
        <v>218.888888888889</v>
      </c>
    </row>
    <row r="30" ht="15" customHeight="1" s="21">
      <c r="A30" s="20" t="inlineStr">
        <is>
          <t>Personal Care</t>
        </is>
      </c>
      <c r="B30" s="20" t="inlineStr">
        <is>
          <t>2026-05</t>
        </is>
      </c>
      <c r="C30" s="20" t="n">
        <v>13</v>
      </c>
      <c r="D30" s="20" t="n">
        <v>3045</v>
      </c>
      <c r="E30" s="20" t="n">
        <v>234.230769230769</v>
      </c>
    </row>
    <row r="31" ht="15" customHeight="1" s="21">
      <c r="A31" s="20" t="inlineStr">
        <is>
          <t>Personal Care</t>
        </is>
      </c>
      <c r="B31" s="20" t="inlineStr">
        <is>
          <t>2026-06</t>
        </is>
      </c>
      <c r="C31" s="20" t="n">
        <v>13</v>
      </c>
      <c r="D31" s="20" t="n">
        <v>2775</v>
      </c>
      <c r="E31" s="20" t="n">
        <v>213.461538461539</v>
      </c>
    </row>
    <row r="32" ht="15" customHeight="1" s="21">
      <c r="A32" s="20" t="inlineStr">
        <is>
          <t>Snacks &amp; Beverages</t>
        </is>
      </c>
      <c r="B32" s="20" t="inlineStr">
        <is>
          <t>2026-01</t>
        </is>
      </c>
      <c r="C32" s="20" t="n">
        <v>10</v>
      </c>
      <c r="D32" s="20" t="n">
        <v>1290</v>
      </c>
      <c r="E32" s="20" t="n">
        <v>129</v>
      </c>
    </row>
    <row r="33" ht="15" customHeight="1" s="21">
      <c r="A33" s="20" t="inlineStr">
        <is>
          <t>Snacks &amp; Beverages</t>
        </is>
      </c>
      <c r="B33" s="20" t="inlineStr">
        <is>
          <t>2026-02</t>
        </is>
      </c>
      <c r="C33" s="20" t="n">
        <v>11</v>
      </c>
      <c r="D33" s="20" t="n">
        <v>1330</v>
      </c>
      <c r="E33" s="20" t="n">
        <v>120.909090909091</v>
      </c>
    </row>
    <row r="34" ht="15" customHeight="1" s="21">
      <c r="A34" s="20" t="inlineStr">
        <is>
          <t>Snacks &amp; Beverages</t>
        </is>
      </c>
      <c r="B34" s="20" t="inlineStr">
        <is>
          <t>2026-03</t>
        </is>
      </c>
      <c r="C34" s="20" t="n">
        <v>15</v>
      </c>
      <c r="D34" s="20" t="n">
        <v>1670</v>
      </c>
      <c r="E34" s="20" t="n">
        <v>111.333333333333</v>
      </c>
    </row>
    <row r="35" ht="15" customHeight="1" s="21">
      <c r="A35" s="20" t="inlineStr">
        <is>
          <t>Snacks &amp; Beverages</t>
        </is>
      </c>
      <c r="B35" s="20" t="inlineStr">
        <is>
          <t>2026-04</t>
        </is>
      </c>
      <c r="C35" s="20" t="n">
        <v>19</v>
      </c>
      <c r="D35" s="20" t="n">
        <v>2980</v>
      </c>
      <c r="E35" s="20" t="n">
        <v>156.842105263158</v>
      </c>
    </row>
    <row r="36" ht="15" customHeight="1" s="21">
      <c r="A36" s="20" t="inlineStr">
        <is>
          <t>Snacks &amp; Beverages</t>
        </is>
      </c>
      <c r="B36" s="20" t="inlineStr">
        <is>
          <t>2026-05</t>
        </is>
      </c>
      <c r="C36" s="20" t="n">
        <v>13</v>
      </c>
      <c r="D36" s="20" t="n">
        <v>1665</v>
      </c>
      <c r="E36" s="20" t="n">
        <v>128.076923076923</v>
      </c>
    </row>
    <row r="37" ht="15" customHeight="1" s="21">
      <c r="A37" s="20" t="inlineStr">
        <is>
          <t>Snacks &amp; Beverages</t>
        </is>
      </c>
      <c r="B37" s="20" t="inlineStr">
        <is>
          <t>2026-06</t>
        </is>
      </c>
      <c r="C37" s="20" t="n">
        <v>15</v>
      </c>
      <c r="D37" s="20" t="n">
        <v>1960</v>
      </c>
      <c r="E37" s="20" t="n">
        <v>130.666666666667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0" min="1" max="1"/>
    <col width="18" customWidth="1" style="20" min="2" max="2"/>
  </cols>
  <sheetData>
    <row r="1" ht="15" customHeight="1" s="21">
      <c r="A1" s="22" t="inlineStr">
        <is>
          <t>category</t>
        </is>
      </c>
      <c r="B1" s="22" t="inlineStr">
        <is>
          <t>target_revenue_inr</t>
        </is>
      </c>
    </row>
    <row r="2" ht="15" customHeight="1" s="21">
      <c r="A2" s="20" t="inlineStr">
        <is>
          <t>Fruits &amp; Vegetables</t>
        </is>
      </c>
      <c r="B2" s="20" t="n">
        <v>12000</v>
      </c>
    </row>
    <row r="3" ht="15" customHeight="1" s="21">
      <c r="A3" s="20" t="inlineStr">
        <is>
          <t>Dairy &amp; Eggs</t>
        </is>
      </c>
      <c r="B3" s="20" t="n">
        <v>16500</v>
      </c>
    </row>
    <row r="4" ht="15" customHeight="1" s="21">
      <c r="A4" s="20" t="inlineStr">
        <is>
          <t>Snacks &amp; Beverages</t>
        </is>
      </c>
      <c r="B4" s="20" t="n">
        <v>13000</v>
      </c>
    </row>
    <row r="5" ht="15" customHeight="1" s="21">
      <c r="A5" s="20" t="inlineStr">
        <is>
          <t>Personal Care</t>
        </is>
      </c>
      <c r="B5" s="20" t="n">
        <v>15500</v>
      </c>
    </row>
    <row r="6" ht="15" customHeight="1" s="21">
      <c r="A6" s="20" t="inlineStr">
        <is>
          <t>Household Essentials</t>
        </is>
      </c>
      <c r="B6" s="20" t="n">
        <v>17000</v>
      </c>
    </row>
    <row r="7" ht="15" customHeight="1" s="21">
      <c r="A7" s="20" t="inlineStr">
        <is>
          <t>Bakery</t>
        </is>
      </c>
      <c r="B7" s="20" t="n">
        <v>12000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sheetData>
    <row r="1" ht="12.8" customHeight="1" s="21">
      <c r="A1" s="20" t="inlineStr">
        <is>
          <t>Filter</t>
        </is>
      </c>
    </row>
    <row r="3" ht="12.8" customHeight="1" s="21">
      <c r="A3" s="23" t="n"/>
      <c r="B3" s="24" t="inlineStr">
        <is>
          <t>Data</t>
        </is>
      </c>
      <c r="C3" s="25" t="n"/>
    </row>
    <row r="4" ht="12.8" customHeight="1" s="21">
      <c r="A4" s="26" t="inlineStr">
        <is>
          <t>category</t>
        </is>
      </c>
      <c r="B4" s="27" t="inlineStr">
        <is>
          <t>Sum - total_revenue</t>
        </is>
      </c>
      <c r="C4" s="28" t="inlineStr">
        <is>
          <t>Sum - order_count</t>
        </is>
      </c>
    </row>
    <row r="5" ht="12.8" customHeight="1" s="21">
      <c r="A5" s="29" t="inlineStr">
        <is>
          <t>Bakery</t>
        </is>
      </c>
      <c r="B5" s="30" t="n">
        <v>15410</v>
      </c>
      <c r="C5" s="31" t="n">
        <v>67</v>
      </c>
    </row>
    <row r="6" ht="12.8" customHeight="1" s="21">
      <c r="A6" s="32" t="inlineStr">
        <is>
          <t>Dairy &amp; Eggs</t>
        </is>
      </c>
      <c r="B6" s="33" t="n">
        <v>14090</v>
      </c>
      <c r="C6" s="34" t="n">
        <v>66</v>
      </c>
    </row>
    <row r="7" ht="12.8" customHeight="1" s="21">
      <c r="A7" s="32" t="inlineStr">
        <is>
          <t>Fruits &amp; Vegetables</t>
        </is>
      </c>
      <c r="B7" s="33" t="n">
        <v>9790</v>
      </c>
      <c r="C7" s="34" t="n">
        <v>73</v>
      </c>
    </row>
    <row r="8" ht="12.8" customHeight="1" s="21">
      <c r="A8" s="32" t="inlineStr">
        <is>
          <t>Household Essentials</t>
        </is>
      </c>
      <c r="B8" s="33" t="n">
        <v>21715</v>
      </c>
      <c r="C8" s="34" t="n">
        <v>79</v>
      </c>
    </row>
    <row r="9" ht="12.8" customHeight="1" s="21">
      <c r="A9" s="32" t="inlineStr">
        <is>
          <t>Personal Care</t>
        </is>
      </c>
      <c r="B9" s="33" t="n">
        <v>16382</v>
      </c>
      <c r="C9" s="34" t="n">
        <v>66</v>
      </c>
    </row>
    <row r="10" ht="12.8" customHeight="1" s="21">
      <c r="A10" s="32" t="inlineStr">
        <is>
          <t>Snacks &amp; Beverages</t>
        </is>
      </c>
      <c r="B10" s="35" t="n">
        <v>10895</v>
      </c>
      <c r="C10" s="36" t="n">
        <v>83</v>
      </c>
    </row>
    <row r="11" ht="12.8" customHeight="1" s="21">
      <c r="A11" s="37" t="inlineStr">
        <is>
          <t>Total Result</t>
        </is>
      </c>
      <c r="B11" s="38" t="n">
        <v>88282</v>
      </c>
      <c r="C11" s="39" t="n">
        <v>434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style="21" min="1" max="1"/>
    <col width="14" customWidth="1" style="21" min="2" max="2"/>
    <col width="12" customWidth="1" style="21" min="3" max="3"/>
    <col width="18" customWidth="1" style="21" min="4" max="4"/>
    <col width="10" customWidth="1" style="21" min="5" max="5"/>
    <col width="18" customWidth="1" style="21" min="6" max="6"/>
    <col width="22" customWidth="1" style="21" min="7" max="7"/>
    <col width="18" customWidth="1" style="21" min="8" max="8"/>
    <col width="22" customWidth="1" style="21" min="9" max="9"/>
  </cols>
  <sheetData>
    <row r="1">
      <c r="A1" s="40" t="inlineStr">
        <is>
          <t>category</t>
        </is>
      </c>
      <c r="B1" s="40" t="inlineStr">
        <is>
          <t>total_revenue</t>
        </is>
      </c>
      <c r="C1" s="40" t="inlineStr">
        <is>
          <t>order_count</t>
        </is>
      </c>
      <c r="D1" s="40" t="inlineStr">
        <is>
          <t>target_revenue_inr</t>
        </is>
      </c>
      <c r="E1" s="40" t="inlineStr">
        <is>
          <t>variance</t>
        </is>
      </c>
      <c r="F1" s="40" t="inlineStr">
        <is>
          <t>percentage_variance</t>
        </is>
      </c>
      <c r="G1" s="40" t="inlineStr">
        <is>
          <t>target_status</t>
        </is>
      </c>
      <c r="H1" s="40" t="inlineStr">
        <is>
          <t>sql_reference_total</t>
        </is>
      </c>
      <c r="I1" s="40" t="inlineStr">
        <is>
          <t>matches_part1_sql_total</t>
        </is>
      </c>
    </row>
    <row r="2">
      <c r="A2" t="inlineStr">
        <is>
          <t>Bakery</t>
        </is>
      </c>
      <c r="B2">
        <f>VLOOKUP(A2,'Pivot Table'!A:C,2,FALSE)</f>
        <v>15410</v>
      </c>
      <c r="C2">
        <f>VLOOKUP(A2,'Pivot Table'!A:C,3,FALSE)</f>
        <v>67</v>
      </c>
      <c r="D2">
        <f>XLOOKUP(A2,'Category Targets'!A:A,'Category Targets'!B:B,"Not Found")</f>
        <v>12000</v>
      </c>
      <c r="E2">
        <f>D2-B2</f>
        <v>-3410</v>
      </c>
      <c r="F2">
        <f>((B2-D2)*100)/D2</f>
        <v>28.416666666666668</v>
      </c>
      <c r="G2" t="str">
        <f>IF(B2&gt;=D2,"Above Target",IF(((D2-B2)*100/D2)&lt;=15,"Below Target - Watch","Below Target - Critical"))</f>
        <v>Above Target</v>
      </c>
      <c r="H2" t="n">
        <v>15410</v>
      </c>
      <c r="I2" t="str">
        <f>IF(B2=H2,"Yes","No")</f>
        <v>Yes</v>
      </c>
    </row>
    <row r="3">
      <c r="A3" t="inlineStr">
        <is>
          <t>Dairy &amp; Eggs</t>
        </is>
      </c>
      <c r="B3">
        <f>VLOOKUP(A3,'Pivot Table'!A:C,2,FALSE)</f>
        <v>14090</v>
      </c>
      <c r="C3">
        <f>VLOOKUP(A3,'Pivot Table'!A:C,3,FALSE)</f>
        <v>66</v>
      </c>
      <c r="D3">
        <f>XLOOKUP(A3,'Category Targets'!A:A,'Category Targets'!B:B,"Not Found")</f>
        <v>16500</v>
      </c>
      <c r="E3">
        <f>D3-B3</f>
        <v>2410</v>
      </c>
      <c r="F3">
        <f>((B3-D3)*100)/D3</f>
        <v>-14.606060606060606</v>
      </c>
      <c r="G3" t="str">
        <f>IF(B3&gt;=D3,"Above Target",IF(((D3-B3)*100/D3)&lt;=15,"Below Target - Watch","Below Target - Critical"))</f>
        <v>Below Target - Watch</v>
      </c>
      <c r="H3" t="n">
        <v>14090</v>
      </c>
      <c r="I3" t="str">
        <f>IF(B3=H3,"Yes","No")</f>
        <v>Yes</v>
      </c>
    </row>
    <row r="4">
      <c r="A4" t="inlineStr">
        <is>
          <t>Fruits &amp; Vegetables</t>
        </is>
      </c>
      <c r="B4">
        <f>VLOOKUP(A4,'Pivot Table'!A:C,2,FALSE)</f>
        <v>9790</v>
      </c>
      <c r="C4">
        <f>VLOOKUP(A4,'Pivot Table'!A:C,3,FALSE)</f>
        <v>73</v>
      </c>
      <c r="D4">
        <f>XLOOKUP(A4,'Category Targets'!A:A,'Category Targets'!B:B,"Not Found")</f>
        <v>12000</v>
      </c>
      <c r="E4">
        <f>D4-B4</f>
        <v>2210</v>
      </c>
      <c r="F4">
        <f>((B4-D4)*100)/D4</f>
        <v>-18.416666666666668</v>
      </c>
      <c r="G4" t="str">
        <f>IF(B4&gt;=D4,"Above Target",IF(((D4-B4)*100/D4)&lt;=15,"Below Target - Watch","Below Target - Critical"))</f>
        <v>Below Target - Critical</v>
      </c>
      <c r="H4" t="n">
        <v>9790</v>
      </c>
      <c r="I4" t="str">
        <f>IF(B4=H4,"Yes","No")</f>
        <v>Yes</v>
      </c>
    </row>
    <row r="5">
      <c r="A5" t="inlineStr">
        <is>
          <t>Household Essentials</t>
        </is>
      </c>
      <c r="B5">
        <f>VLOOKUP(A5,'Pivot Table'!A:C,2,FALSE)</f>
        <v>21715</v>
      </c>
      <c r="C5">
        <f>VLOOKUP(A5,'Pivot Table'!A:C,3,FALSE)</f>
        <v>79</v>
      </c>
      <c r="D5">
        <f>XLOOKUP(A5,'Category Targets'!A:A,'Category Targets'!B:B,"Not Found")</f>
        <v>17000</v>
      </c>
      <c r="E5">
        <f>D5-B5</f>
        <v>-4715</v>
      </c>
      <c r="F5">
        <f>((B5-D5)*100)/D5</f>
        <v>27.735294117647058</v>
      </c>
      <c r="G5" t="str">
        <f>IF(B5&gt;=D5,"Above Target",IF(((D5-B5)*100/D5)&lt;=15,"Below Target - Watch","Below Target - Critical"))</f>
        <v>Above Target</v>
      </c>
      <c r="H5" t="n">
        <v>21715</v>
      </c>
      <c r="I5" t="str">
        <f>IF(B5=H5,"Yes","No")</f>
        <v>Yes</v>
      </c>
    </row>
    <row r="6">
      <c r="A6" t="inlineStr">
        <is>
          <t>Personal Care</t>
        </is>
      </c>
      <c r="B6">
        <f>VLOOKUP(A6,'Pivot Table'!A:C,2,FALSE)</f>
        <v>16382</v>
      </c>
      <c r="C6">
        <f>VLOOKUP(A6,'Pivot Table'!A:C,3,FALSE)</f>
        <v>66</v>
      </c>
      <c r="D6">
        <f>XLOOKUP(A6,'Category Targets'!A:A,'Category Targets'!B:B,"Not Found")</f>
        <v>15500</v>
      </c>
      <c r="E6">
        <f>D6-B6</f>
        <v>-882</v>
      </c>
      <c r="F6">
        <f>((B6-D6)*100)/D6</f>
        <v>5.690322580645161</v>
      </c>
      <c r="G6" t="str">
        <f>IF(B6&gt;=D6,"Above Target",IF(((D6-B6)*100/D6)&lt;=15,"Below Target - Watch","Below Target - Critical"))</f>
        <v>Above Target</v>
      </c>
      <c r="H6" t="n">
        <v>16382</v>
      </c>
      <c r="I6" t="str">
        <f>IF(B6=H6,"Yes","No")</f>
        <v>Yes</v>
      </c>
    </row>
    <row r="7">
      <c r="A7" t="inlineStr">
        <is>
          <t>Snacks &amp; Beverages</t>
        </is>
      </c>
      <c r="B7">
        <f>VLOOKUP(A7,'Pivot Table'!A:C,2,FALSE)</f>
        <v>10895</v>
      </c>
      <c r="C7">
        <f>VLOOKUP(A7,'Pivot Table'!A:C,3,FALSE)</f>
        <v>83</v>
      </c>
      <c r="D7">
        <f>XLOOKUP(A7,'Category Targets'!A:A,'Category Targets'!B:B,"Not Found")</f>
        <v>13000</v>
      </c>
      <c r="E7">
        <f>D7-B7</f>
        <v>2105</v>
      </c>
      <c r="F7">
        <f>((B7-D7)*100)/D7</f>
        <v>-16.192307692307693</v>
      </c>
      <c r="G7" t="str">
        <f>IF(B7&gt;=D7,"Above Target",IF(((D7-B7)*100/D7)&lt;=15,"Below Target - Watch","Below Target - Critical"))</f>
        <v>Below Target - Critical</v>
      </c>
      <c r="H7" t="n">
        <v>10895</v>
      </c>
      <c r="I7" t="str">
        <f>IF(B7=H7,"Yes","No")</f>
        <v>Yes</v>
      </c>
    </row>
  </sheetData>
  <conditionalFormatting sqref="G2:G7">
    <cfRule type="cellIs" priority="1" operator="equal" dxfId="0">
      <formula>"Above Target"</formula>
    </cfRule>
    <cfRule type="cellIs" priority="2" operator="equal" dxfId="1">
      <formula>"Below Target - Watch"</formula>
    </cfRule>
    <cfRule type="cellIs" priority="3" operator="equal" dxfId="2">
      <formula>"Below Target - Critical"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2026-09-03T18:43:58Z</dcterms:created>
  <dcterms:modified xmlns:dcterms="http://purl.org/dc/terms/" xmlns:xsi="http://www.w3.org/2001/XMLSchema-instance" xsi:type="dcterms:W3CDTF">2026-09-03T18:43:58Z</dcterms:modified>
  <cp:revision>1</cp:revision>
</cp:coreProperties>
</file>